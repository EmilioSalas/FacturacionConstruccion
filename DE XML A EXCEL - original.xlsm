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encia.procesos\Desktop\ESCRITORIO\SAP-IMPORTACIÓN\Facturas de Proveedores\Nuevas Facturas\FACTURAS CON RETENCIONES\"/>
    </mc:Choice>
  </mc:AlternateContent>
  <bookViews>
    <workbookView xWindow="0" yWindow="0" windowWidth="28800" windowHeight="13725"/>
  </bookViews>
  <sheets>
    <sheet name="CFDI. FACT." sheetId="1" r:id="rId1"/>
  </sheets>
  <definedNames>
    <definedName name="_xlnm._FilterDatabase" localSheetId="0" hidden="1">'CFDI. FACT.'!#REF!</definedName>
  </definedNames>
  <calcPr calcId="152511"/>
  <customWorkbookViews>
    <customWorkbookView name="Luis Gerardo Acosta Bravo - Vista personalizada" guid="{B4850F91-50A2-4A54-A1BF-3C17D740053F}" mergeInterval="0" personalView="1" maximized="1" xWindow="-8" yWindow="-8" windowWidth="1382" windowHeight="744" activeSheetId="1"/>
    <customWorkbookView name="luis.acosta - Vista personalizada" guid="{55226B71-C347-4DAC-B037-E9CF2FD2913C}" mergeInterval="0" personalView="1" maximized="1" xWindow="1" yWindow="1" windowWidth="1280" windowHeight="804" activeSheetId="1"/>
    <customWorkbookView name="Control Interno - Vista personalizada" guid="{1C8042B4-AAB3-47D5-8D64-822E9FA982DB}" mergeInterval="0" personalView="1" maximized="1" xWindow="-8" yWindow="-8" windowWidth="1382" windowHeight="744" activeSheetId="1"/>
  </customWorkbookViews>
</workbook>
</file>

<file path=xl/calcChain.xml><?xml version="1.0" encoding="utf-8"?>
<calcChain xmlns="http://schemas.openxmlformats.org/spreadsheetml/2006/main">
  <c r="H1" i="1" l="1"/>
  <c r="A2" i="1" l="1"/>
</calcChain>
</file>

<file path=xl/sharedStrings.xml><?xml version="1.0" encoding="utf-8"?>
<sst xmlns="http://schemas.openxmlformats.org/spreadsheetml/2006/main" count="317" uniqueCount="216">
  <si>
    <t>RFC Receptor</t>
  </si>
  <si>
    <t>Nombre Receptor</t>
  </si>
  <si>
    <t>RFC Emisor</t>
  </si>
  <si>
    <t>Nombre Emisor</t>
  </si>
  <si>
    <t>Folio</t>
  </si>
  <si>
    <t>SubTotal</t>
  </si>
  <si>
    <t>Fecha de Timbrado</t>
  </si>
  <si>
    <t>Serie</t>
  </si>
  <si>
    <t>Moneda</t>
  </si>
  <si>
    <t>Tipo De Cambio</t>
  </si>
  <si>
    <t>Metodo de Pago</t>
  </si>
  <si>
    <t>Condicion de Pago</t>
  </si>
  <si>
    <t>Tipo de Comprobante</t>
  </si>
  <si>
    <t>Fecha de Emision</t>
  </si>
  <si>
    <t>No. Certificado</t>
  </si>
  <si>
    <t>Descuento</t>
  </si>
  <si>
    <t>Total</t>
  </si>
  <si>
    <t>Num. Cta. De Pago</t>
  </si>
  <si>
    <t>Regimen Fiscal</t>
  </si>
  <si>
    <t>Archivo XML / UUID</t>
  </si>
  <si>
    <t>Conceptos</t>
  </si>
  <si>
    <t>Forma de Pago</t>
  </si>
  <si>
    <t>Lugar de Expedicion</t>
  </si>
  <si>
    <t>Version de CFDI</t>
  </si>
  <si>
    <t>RUTA DEL ARCHIVO</t>
  </si>
  <si>
    <t>G:\XML\XML\5BFFE49E-5A69-4F19-B48F-9751B322DDC6.xml</t>
  </si>
  <si>
    <t>Impuesto Retenido</t>
  </si>
  <si>
    <t>Importe Retenido</t>
  </si>
  <si>
    <t>Impuesto Trasladado</t>
  </si>
  <si>
    <t>Tasa Traslado</t>
  </si>
  <si>
    <t>Importe Trasladado</t>
  </si>
  <si>
    <t>Total Retenido</t>
  </si>
  <si>
    <t>Total Trasladado</t>
  </si>
  <si>
    <t>Total Locales</t>
  </si>
  <si>
    <t>Retenciones Locales</t>
  </si>
  <si>
    <t>Impuesto Local</t>
  </si>
  <si>
    <t>Tasa Local</t>
  </si>
  <si>
    <t>Importe Local</t>
  </si>
  <si>
    <t>UTS9707076FA</t>
  </si>
  <si>
    <t>IVA</t>
  </si>
  <si>
    <t>16.00</t>
  </si>
  <si>
    <t>MXN</t>
  </si>
  <si>
    <t>ingreso</t>
  </si>
  <si>
    <t>Pago en una sola exhibición</t>
  </si>
  <si>
    <t>3.2</t>
  </si>
  <si>
    <t>2014-01-22T10:23:07</t>
  </si>
  <si>
    <t>A</t>
  </si>
  <si>
    <t>166</t>
  </si>
  <si>
    <t>DICA670303PS9</t>
  </si>
  <si>
    <t>MARIA DE LOS ANGELES DIAZ DE LA CRUZ</t>
  </si>
  <si>
    <t>UNIVERSIDAD TECNOLOGICA DEL SUR, SC</t>
  </si>
  <si>
    <t>Transferencia Bancaria</t>
  </si>
  <si>
    <t>0366</t>
  </si>
  <si>
    <t>Régimen de Incorporación Fiscal</t>
  </si>
  <si>
    <t>5BFFE49E-5A69-4F19-B48F-9751B322DDC6</t>
  </si>
  <si>
    <t>TKT AM.. MEX-MID-MEX DEL 31 ENERO AL 01 FEBRERO 139-4679269071 DE 14 AL 15 FEBRERO 139-4619799423 MACOTELA / MAURICIO</t>
  </si>
  <si>
    <t>Centro, Tabasco</t>
  </si>
  <si>
    <t>00001000000202368022</t>
  </si>
  <si>
    <t>TUA</t>
  </si>
  <si>
    <t>3.50</t>
  </si>
  <si>
    <t>G:\XML\XML\E1D025A9-50AE-45FB-9708-75ECDF4DE9BE@0000000000XX0.xml</t>
  </si>
  <si>
    <t>G:\XML\XML\01E01BCB-58AB-4322-973B-90B3C92507FA.xml</t>
  </si>
  <si>
    <t>G:\XML\XML\4BDF43E0-B94E-472C-A1A7-1033F0A97965@0000000000XX0.xml</t>
  </si>
  <si>
    <t>G:\XML\XML\025EBC56-BA85-E341-8C36-446D4EF90F45.xml</t>
  </si>
  <si>
    <t>G:\XML\XML\050B2A05-4927-43D4-CD98-79BF38CB9322.xml</t>
  </si>
  <si>
    <t>G:\XML\XML\0272A2A6-EBA9-4EC5-AE64-B4C21A9F61C1.xml</t>
  </si>
  <si>
    <t>2016-12-22T00:10:01</t>
  </si>
  <si>
    <t>2016-12-22T03:19:41</t>
  </si>
  <si>
    <t>TME840315KT6</t>
  </si>
  <si>
    <t>TELEFONOS DE MEXICO S.A.B. DE C.V.</t>
  </si>
  <si>
    <t>CEU080304G40</t>
  </si>
  <si>
    <t>CENTRO DE ESTUDIOS UNIVERSITARIOS SAN CRISTOBAL SC</t>
  </si>
  <si>
    <t/>
  </si>
  <si>
    <t>IEPS / IVA / IVA / IVA</t>
  </si>
  <si>
    <t>3.00 / 0.00 / 11.00 / 16.00</t>
  </si>
  <si>
    <t>14.170000 / 0.000000 / 0.000000 / 110.190000</t>
  </si>
  <si>
    <t>NO IDENTIFICADO</t>
  </si>
  <si>
    <t>Regimen Fiscal: Régimen Opcional para Grupos de Sociedades</t>
  </si>
  <si>
    <t>E1D025A9-50AE-45FB-9708-75ECDF4DE9BE</t>
  </si>
  <si>
    <t>Planes y Paquetes</t>
  </si>
  <si>
    <t>PAGO EN UNA SOLA EXHIBICION</t>
  </si>
  <si>
    <t>PARQUE VIA 198,CUAUHTEMOC,MEXICO,DISTRITO FEDERAL</t>
  </si>
  <si>
    <t>00001000000203419918</t>
  </si>
  <si>
    <t>2014-01-14T15:15:21</t>
  </si>
  <si>
    <t>2014-01-14T15:15:22</t>
  </si>
  <si>
    <t>72</t>
  </si>
  <si>
    <t>JCE050905H17</t>
  </si>
  <si>
    <t>JEEDA CONSTRUCCION Y ELECTRIFICACION SA DE CV</t>
  </si>
  <si>
    <t>UNIVERSIDAD TECNOLOGICA DEL SUR S.C.</t>
  </si>
  <si>
    <t>No identificado</t>
  </si>
  <si>
    <t>Régimen General de Ley Personas Morales</t>
  </si>
  <si>
    <t>01E01BCB-58AB-4322-973B-90B3C92507FA</t>
  </si>
  <si>
    <t>RECIBI DE LA UNIVERSIDAD TECNOLOGICA DEL SUR S.C. LA CANTIDAD DE $315,675.10 (TRESCIENTOS QUINCE MIL SEISCIENTOS SETENTA Y CINCO PESOS 10/100 M.N.) POR CONCEPTO DE ANTICIPO DE SUBESTACION TRIFASICA DE 300 KVA A 13200 CON TRANSFORMADOR DE PEDESTAL, INCLUYE: CONDUCTOR XLP 3/0, SISTEMA DE TIERRAS, AISLAMIENTO, HERRAJES, REGISTROS Y MANO DE OBRA CALIFICADA EN TRANSICION AEREA – SUBTERRANEA EN MEDIA TENSION. UBICADO EN BLV. BELISARIO DOMINGUEZ No. 1159, COL XAMAIPAK, TUXTLA GUTIERREZ, CHIAPAS.</t>
  </si>
  <si>
    <t>TUXTLA GUTIERREZ, Chiapas</t>
  </si>
  <si>
    <t>00001000000301405525</t>
  </si>
  <si>
    <t>2016-12-01T09:32:31</t>
  </si>
  <si>
    <t>2016-12-01T09:37:31</t>
  </si>
  <si>
    <t>R</t>
  </si>
  <si>
    <t>629</t>
  </si>
  <si>
    <t>LINJ480327222</t>
  </si>
  <si>
    <t>JUAN OSCAR LIEVANO NARVAEZ</t>
  </si>
  <si>
    <t>CENTRO DE ESTUDIOS UNIVERSITARIOS SAN CRISTOBAL S.C.</t>
  </si>
  <si>
    <t>ISR / IVA</t>
  </si>
  <si>
    <t>1660.91 / 1771.64</t>
  </si>
  <si>
    <t>02</t>
  </si>
  <si>
    <t>ARRENDAMIENTO DE INMUEBLES</t>
  </si>
  <si>
    <t>4BDF43E0-B94E-472C-A1A7-1033F0A97965</t>
  </si>
  <si>
    <t>ARRENDAMIENTO CORRESPONDIENTE AL MES DE DICIEMBRE DE 2016</t>
  </si>
  <si>
    <t>SAN CRISTOBAL DE LAS CASAS, Chiapas</t>
  </si>
  <si>
    <t>00001000000203062092</t>
  </si>
  <si>
    <t>2014-01-25T12:13:09</t>
  </si>
  <si>
    <t>2014-01-25T12:15:11</t>
  </si>
  <si>
    <t>TA</t>
  </si>
  <si>
    <t>758</t>
  </si>
  <si>
    <t>BPC9511134X4</t>
  </si>
  <si>
    <t>BROADWAY PLAYERAS Y CACHUCHAS, S.A. DE C.V.</t>
  </si>
  <si>
    <t>IEPS / IVA</t>
  </si>
  <si>
    <t>0.00 / 16.00</t>
  </si>
  <si>
    <t>0.00 / 64.16</t>
  </si>
  <si>
    <t>Pesos</t>
  </si>
  <si>
    <t>1.000000</t>
  </si>
  <si>
    <t>Tarj.debito SANTANDER</t>
  </si>
  <si>
    <t>6057</t>
  </si>
  <si>
    <t>REGIMEN GENERAL DE LEY DE PERSONAS MORALES</t>
  </si>
  <si>
    <t>025EBC56-BA85-E341-8C36-446D4EF90F45</t>
  </si>
  <si>
    <t>POLO BR BLANCO CAB T. GDE \ POLO BR VINO CAB T. GDE \ ROMPEVIENTOS</t>
  </si>
  <si>
    <t>VENUSTIANO CARRANZA, DISTRITO FEDERAL</t>
  </si>
  <si>
    <t>00001000000201897293</t>
  </si>
  <si>
    <t>2014-01-14T10:30:11</t>
  </si>
  <si>
    <t>2014-01-14T10:30:55</t>
  </si>
  <si>
    <t>IHGDCE</t>
  </si>
  <si>
    <t>45072</t>
  </si>
  <si>
    <t>HDM001017AS1</t>
  </si>
  <si>
    <t>HOME DEPOT MEXICO S. DE R.L. DE C.V.</t>
  </si>
  <si>
    <t>UNIVERSIDAD TECNOLOGICA DEL SUR SC</t>
  </si>
  <si>
    <t>16</t>
  </si>
  <si>
    <t>1.0</t>
  </si>
  <si>
    <t>T. CREDITO</t>
  </si>
  <si>
    <t>6108</t>
  </si>
  <si>
    <t>Pagado</t>
  </si>
  <si>
    <t>Regimen de consolidacion</t>
  </si>
  <si>
    <t>050B2A05-4927-43D4-CD98-79BF38CB9322</t>
  </si>
  <si>
    <t>DOWNLIGHT LED 6 15W (75W) E27 DIM</t>
  </si>
  <si>
    <t>PAGO EN UNA SOLA EXHIBICIÓN</t>
  </si>
  <si>
    <t>MERIDA YUCATAN</t>
  </si>
  <si>
    <t>00001000000300381967</t>
  </si>
  <si>
    <t>2014-01-22T18:33:15</t>
  </si>
  <si>
    <t>TGX</t>
  </si>
  <si>
    <t>95961877</t>
  </si>
  <si>
    <t>CCO8605231N4</t>
  </si>
  <si>
    <t>CADENA COMERCIAL OXXO, S.A. DE C.V.</t>
  </si>
  <si>
    <t>UNIVERSIDAD TECNOLOGICA DEL SUR S.C</t>
  </si>
  <si>
    <t>EFECTIVO M.N.</t>
  </si>
  <si>
    <t>No Aplica</t>
  </si>
  <si>
    <t>0272a2a6-eba9-4ec5-ae64-b4c21a9f61c1</t>
  </si>
  <si>
    <t>TAE TELCEL 500</t>
  </si>
  <si>
    <t>3RA. AVENIDA SUR  #NO. 480 SAN ROQUE, TUXTLA GUTIERREZ CHIAPAS</t>
  </si>
  <si>
    <t>00001000000203342589</t>
  </si>
  <si>
    <t>2018-08-14T10:43:09</t>
  </si>
  <si>
    <t xml:space="preserve"> / </t>
  </si>
  <si>
    <t>BF0806A9-2EA8-4243-B92F-D6F29863FF12</t>
  </si>
  <si>
    <t>HONORARIOS POR RESPONSIVA COMO CORRESPONSABLE EN INSTALACIONES PARA RESPALDAR EL DICTAMEN TECNICO DE INSTALACION ELECTRICA DEL INMUEBLE UBICADO EN CALLE MANUEL ACUÑA N° 104, COLONIA SAN FRANCISCO TETECALA, DELEGACIÓN AZCAPOTZALCO, C. P. 02730.</t>
  </si>
  <si>
    <t>52950</t>
  </si>
  <si>
    <t>2018-08-14T11:02:03</t>
  </si>
  <si>
    <t>CEECD28F-7C11-4251-91E7-23A4FDA805AA</t>
  </si>
  <si>
    <t>HONORARIOS POR RESPONSIVA COMO CORRESPONSABLE EN INSTALACIONES PARA RESPALDAR EL DICTAMEN TECNICO DE INSTALACION ELECTRICA DEL INMUEBLE UBICADO EN CALLE SICOMORO N° 14, COLONIA AMPLIACION DEL GAS, DELEGACIÓN AZCAPOTZALCO</t>
  </si>
  <si>
    <t>2018-08-02T09:39:43</t>
  </si>
  <si>
    <t>FCB0FDB1-7AFF-4FE2-9F94-093606337BFC</t>
  </si>
  <si>
    <t>11000</t>
  </si>
  <si>
    <t>2018-08-02T09:54:07</t>
  </si>
  <si>
    <t>2BE9DCAA-B445-43B9-BD83-71DF47301786</t>
  </si>
  <si>
    <t>2018-08-06T10:46:28</t>
  </si>
  <si>
    <t>F46FE48C-2518-49EB-9C0F-2E8573752FAF</t>
  </si>
  <si>
    <t>HONORARIOS PROFESIONALES POR SERVICIOS ESPECIALES ASESORIA FISCAL</t>
  </si>
  <si>
    <t>06600</t>
  </si>
  <si>
    <t>2018-08-06T10:47:04</t>
  </si>
  <si>
    <t>0A0F013A-010B-4C02-8825-BB3CEDDC32ED</t>
  </si>
  <si>
    <t>2018-08-17T11:24:35</t>
  </si>
  <si>
    <t>1</t>
  </si>
  <si>
    <t>873C7057-F1D5-4F39-8BAD-442AA3A99DBC</t>
  </si>
  <si>
    <t>Consumo</t>
  </si>
  <si>
    <t>14000</t>
  </si>
  <si>
    <t>2018-08-17T10:49:11</t>
  </si>
  <si>
    <t>0066D89E-A30F-4C01-A84E-CD2E126F60BF</t>
  </si>
  <si>
    <t>-
40% del presupuesto a la entrega de los documentos por parte de MEXTYPSA a Desarrolladora A&amp;L.</t>
  </si>
  <si>
    <t>11590</t>
  </si>
  <si>
    <t>ROTH4504137H6</t>
  </si>
  <si>
    <t>HERMENEGILDO GUILLERMO ROBLES TEPICHIN</t>
  </si>
  <si>
    <t>PAA091211B40</t>
  </si>
  <si>
    <t>PROCESADORA DE ALIMENTOS  ALVERLAN, S. A. DE C. V.</t>
  </si>
  <si>
    <t>VPO0711227Z3</t>
  </si>
  <si>
    <t>VENTANA POLANCO, S. A. DE C. V.</t>
  </si>
  <si>
    <t>SCN020620RI2</t>
  </si>
  <si>
    <t>SANCHEZ COLIN Y NOVELO, S.C.</t>
  </si>
  <si>
    <t>APA110523BE5</t>
  </si>
  <si>
    <t>AH PATRIMONIAL  S.  DE R. L.  DE C.V.</t>
  </si>
  <si>
    <t>HONORARIOS \ GASTOS</t>
  </si>
  <si>
    <t>AMA8308264L2</t>
  </si>
  <si>
    <t>ALBERTO MENDEZ Y ASOCIADOS, S.C.</t>
  </si>
  <si>
    <t>MEC120704CP9</t>
  </si>
  <si>
    <t>MARIANO ESCOBEDO 48,S.A. DE C.V.</t>
  </si>
  <si>
    <t>CTE100114L13</t>
  </si>
  <si>
    <t>CAMPESTRE TEPEPAN, S.A. DE C.V.</t>
  </si>
  <si>
    <t>STL080812QB9</t>
  </si>
  <si>
    <t>LA SELVA DE TLALPAN S.A. DE C.V.</t>
  </si>
  <si>
    <t>CAMPESTRE TEPEPAN S.A. DE C.V.</t>
  </si>
  <si>
    <t>MEX0907141P1</t>
  </si>
  <si>
    <t>MEXTYPSA, S.A. DE C.V.</t>
  </si>
  <si>
    <t>C:\Users\gerencia.procesos\Desktop\ESCRITORIO\SAP-IMPORTACIÓN\Facturas de Proveedores\Nuevas Facturas\IVAN_Facturas\01 TEPICHIN463PAA.xml</t>
  </si>
  <si>
    <t>C:\Users\gerencia.procesos\Desktop\ESCRITORIO\SAP-IMPORTACIÓN\Facturas de Proveedores\Nuevas Facturas\IVAN_Facturas\02 TEPICHIN464VPO.xml</t>
  </si>
  <si>
    <t>C:\Users\gerencia.procesos\Desktop\ESCRITORIO\SAP-IMPORTACIÓN\Facturas de Proveedores\Nuevas Facturas\IVAN_Facturas\03 NOVELO28631AHP.xml</t>
  </si>
  <si>
    <t>C:\Users\gerencia.procesos\Desktop\ESCRITORIO\SAP-IMPORTACIÓN\Facturas de Proveedores\Nuevas Facturas\IVAN_Facturas\04 NOVELO28632AHP.xml</t>
  </si>
  <si>
    <t>C:\Users\gerencia.procesos\Desktop\ESCRITORIO\SAP-IMPORTACIÓN\Facturas de Proveedores\Nuevas Facturas\IVAN_Facturas\05 MENDEZ5608ME48.xml</t>
  </si>
  <si>
    <t>C:\Users\gerencia.procesos\Desktop\ESCRITORIO\SAP-IMPORTACIÓN\Facturas de Proveedores\Nuevas Facturas\IVAN_Facturas\06 MENDEZ5609BT.xml</t>
  </si>
  <si>
    <t>C:\Users\gerencia.procesos\Desktop\ESCRITORIO\SAP-IMPORTACIÓN\Facturas de Proveedores\Nuevas Facturas\IVAN_Facturas\07 SELVAA6125BT.xml</t>
  </si>
  <si>
    <t>C:\Users\gerencia.procesos\Desktop\ESCRITORIO\SAP-IMPORTACIÓN\Facturas de Proveedores\Nuevas Facturas\IVAN_Facturas\08 MEXTYPSAE137BT.xml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</si>
</sst>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;[Red]\-&quot;$&quot;#,##0.00"/>
  </numFmts>
  <fonts count="3" x14ac:knownFonts="1">
    <font>
      <sz val="11"/>
      <color theme="1"/>
      <name val="Calibri"/>
      <family val="2"/>
      <scheme val="minor"/>
    </font>
    <font>
      <b/>
      <sz val="10"/>
      <color theme="0"/>
      <name val="Arial Rounded MT Bold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2" fillId="0" borderId="0" xfId="0" applyNumberFormat="1" applyFont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49" fontId="0" fillId="0" borderId="0" xfId="0" applyNumberFormat="1" applyFont="1"/>
    <xf numFmtId="49" fontId="0" fillId="0" borderId="0" xfId="0" applyNumberFormat="1"/>
    <xf numFmtId="8" fontId="1" fillId="3" borderId="1" xfId="0" applyNumberFormat="1" applyFont="1" applyFill="1" applyBorder="1" applyAlignment="1">
      <alignment horizontal="center" wrapText="1"/>
    </xf>
    <xf numFmtId="8" fontId="1" fillId="2" borderId="1" xfId="0" applyNumberFormat="1" applyFont="1" applyFill="1" applyBorder="1" applyAlignment="1">
      <alignment horizontal="center" wrapText="1"/>
    </xf>
    <xf numFmtId="8" fontId="0" fillId="0" borderId="0" xfId="0" applyNumberFormat="1"/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1080567</xdr:colOff>
      <xdr:row>0</xdr:row>
      <xdr:rowOff>40822</xdr:rowOff>
    </xdr:from>
    <xdr:to>
      <xdr:col>1</xdr:col>
      <xdr:colOff>910878</xdr:colOff>
      <xdr:row>1</xdr:row>
      <xdr:rowOff>272144</xdr:rowOff>
    </xdr:to>
    <xdr:sp macro="[0]!Ruta_CFDI" textlink="">
      <xdr:nvSpPr>
        <xdr:cNvPr id="2" name="1 Flecha derecha"/>
        <xdr:cNvSpPr/>
      </xdr:nvSpPr>
      <xdr:spPr>
        <a:xfrm>
          <a:off x="1080567" y="40822"/>
          <a:ext cx="918882" cy="421822"/>
        </a:xfrm>
        <a:prstGeom prst="rightArrow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5"/>
  </sheetPr>
  <dimension ref="A1:AL27"/>
  <sheetViews>
    <sheetView tabSelected="1" zoomScale="70" zoomScaleNormal="70" workbookViewId="0">
      <pane xSplit="6" ySplit="2" topLeftCell="G3" activePane="bottomRight" state="frozen"/>
      <selection pane="topRight" activeCell="G1" sqref="G1"/>
      <selection pane="bottomLeft" activeCell="A2" sqref="A2"/>
      <selection pane="bottomRight" activeCell="P12" sqref="P12"/>
    </sheetView>
  </sheetViews>
  <sheetFormatPr baseColWidth="10" defaultColWidth="11.42578125" defaultRowHeight="15" x14ac:dyDescent="0.25"/>
  <cols>
    <col min="1" max="1" width="16.28515625" style="5" customWidth="1"/>
    <col min="2" max="2" width="19.5703125" style="5" customWidth="1"/>
    <col min="3" max="3" width="20" style="5" customWidth="1"/>
    <col min="4" max="4" width="7.140625" style="5" customWidth="1"/>
    <col min="5" max="5" width="14.28515625" style="5" customWidth="1"/>
    <col min="6" max="6" width="14.28515625" style="5" bestFit="1" customWidth="1"/>
    <col min="7" max="7" width="34" style="5" bestFit="1" customWidth="1"/>
    <col min="8" max="8" width="16" style="5" customWidth="1"/>
    <col min="9" max="9" width="30" style="5" customWidth="1"/>
    <col min="10" max="10" width="12.85546875" style="8" bestFit="1" customWidth="1"/>
    <col min="11" max="11" width="11" style="8" bestFit="1" customWidth="1"/>
    <col min="12" max="12" width="11.42578125" style="5" customWidth="1"/>
    <col min="13" max="13" width="10.85546875" style="8" bestFit="1" customWidth="1"/>
    <col min="14" max="14" width="13.42578125" style="5" bestFit="1" customWidth="1"/>
    <col min="15" max="15" width="13.42578125" style="5" customWidth="1"/>
    <col min="16" max="16" width="16.85546875" style="8" customWidth="1"/>
    <col min="17" max="17" width="12.5703125" style="8" customWidth="1"/>
    <col min="18" max="18" width="13.42578125" style="8" bestFit="1" customWidth="1"/>
    <col min="19" max="19" width="9.85546875" style="8" customWidth="1"/>
    <col min="20" max="20" width="14.7109375" style="8" bestFit="1" customWidth="1"/>
    <col min="21" max="21" width="11" style="5" bestFit="1" customWidth="1"/>
    <col min="22" max="22" width="7.140625" style="5" bestFit="1" customWidth="1"/>
    <col min="23" max="23" width="9.5703125" style="8" bestFit="1" customWidth="1"/>
    <col min="24" max="24" width="11.5703125" style="8" customWidth="1"/>
    <col min="25" max="25" width="9.42578125" style="5" bestFit="1" customWidth="1"/>
    <col min="26" max="26" width="16.7109375" style="5" customWidth="1"/>
    <col min="27" max="27" width="17.140625" style="5" bestFit="1" customWidth="1"/>
    <col min="28" max="28" width="16.28515625" style="5" customWidth="1"/>
    <col min="29" max="29" width="13" style="5" customWidth="1"/>
    <col min="30" max="30" width="16.140625" style="5" customWidth="1"/>
    <col min="31" max="31" width="21.42578125" style="5" customWidth="1"/>
    <col min="32" max="32" width="39.7109375" style="5" customWidth="1"/>
    <col min="33" max="33" width="46.28515625" style="5" customWidth="1"/>
    <col min="34" max="34" width="30.5703125" style="5" customWidth="1"/>
    <col min="35" max="35" width="20" style="5" bestFit="1" customWidth="1"/>
    <col min="36" max="36" width="18.5703125" style="5" customWidth="1"/>
    <col min="37" max="37" width="16" style="5" bestFit="1" customWidth="1"/>
    <col min="38" max="38" width="153" style="5" customWidth="1"/>
    <col min="39" max="16384" width="11.42578125" style="5"/>
  </cols>
  <sheetData>
    <row r="1" spans="1:38" x14ac:dyDescent="0.25">
      <c r="H1" s="1">
        <f>SUBTOTAL(103,$H$3:$H49841)</f>
        <v>15</v>
      </c>
    </row>
    <row r="2" spans="1:38" s="4" customFormat="1" ht="27" customHeight="1" thickBot="1" x14ac:dyDescent="0.3">
      <c r="A2" s="1" t="str">
        <f>CONCATENATE(SUBTOTAL(103,B3:B1048576)," ", "Total XML")</f>
        <v>7 Total XML</v>
      </c>
      <c r="B2" s="2" t="s">
        <v>13</v>
      </c>
      <c r="C2" s="2" t="s">
        <v>6</v>
      </c>
      <c r="D2" s="2" t="s">
        <v>7</v>
      </c>
      <c r="E2" s="2" t="s">
        <v>4</v>
      </c>
      <c r="F2" s="2" t="s">
        <v>2</v>
      </c>
      <c r="G2" s="2" t="s">
        <v>3</v>
      </c>
      <c r="H2" s="2" t="s">
        <v>0</v>
      </c>
      <c r="I2" s="2" t="s">
        <v>1</v>
      </c>
      <c r="J2" s="6" t="s">
        <v>5</v>
      </c>
      <c r="K2" s="6" t="s">
        <v>15</v>
      </c>
      <c r="L2" s="3" t="s">
        <v>26</v>
      </c>
      <c r="M2" s="7" t="s">
        <v>27</v>
      </c>
      <c r="N2" s="2" t="s">
        <v>28</v>
      </c>
      <c r="O2" s="2" t="s">
        <v>29</v>
      </c>
      <c r="P2" s="6" t="s">
        <v>30</v>
      </c>
      <c r="Q2" s="6" t="s">
        <v>31</v>
      </c>
      <c r="R2" s="6" t="s">
        <v>32</v>
      </c>
      <c r="S2" s="7" t="s">
        <v>33</v>
      </c>
      <c r="T2" s="7" t="s">
        <v>34</v>
      </c>
      <c r="U2" s="3" t="s">
        <v>35</v>
      </c>
      <c r="V2" s="3" t="s">
        <v>36</v>
      </c>
      <c r="W2" s="7" t="s">
        <v>37</v>
      </c>
      <c r="X2" s="6" t="s">
        <v>16</v>
      </c>
      <c r="Y2" s="2" t="s">
        <v>8</v>
      </c>
      <c r="Z2" s="2" t="s">
        <v>9</v>
      </c>
      <c r="AA2" s="2" t="s">
        <v>10</v>
      </c>
      <c r="AB2" s="2" t="s">
        <v>17</v>
      </c>
      <c r="AC2" s="2" t="s">
        <v>11</v>
      </c>
      <c r="AD2" s="2" t="s">
        <v>12</v>
      </c>
      <c r="AE2" s="3" t="s">
        <v>18</v>
      </c>
      <c r="AF2" s="2" t="s">
        <v>19</v>
      </c>
      <c r="AG2" s="2" t="s">
        <v>20</v>
      </c>
      <c r="AH2" s="2" t="s">
        <v>21</v>
      </c>
      <c r="AI2" s="2" t="s">
        <v>22</v>
      </c>
      <c r="AJ2" s="2" t="s">
        <v>14</v>
      </c>
      <c r="AK2" s="2" t="s">
        <v>23</v>
      </c>
      <c r="AL2" s="2" t="s">
        <v>24</v>
      </c>
    </row>
    <row r="3" spans="1:38" x14ac:dyDescent="0.25">
      <c r="B3" s="5" t="s">
        <v>45</v>
      </c>
      <c r="C3" s="5" t="s">
        <v>45</v>
      </c>
      <c r="D3" s="5" t="s">
        <v>46</v>
      </c>
      <c r="E3" s="5" t="s">
        <v>47</v>
      </c>
      <c r="F3" s="5" t="s">
        <v>48</v>
      </c>
      <c r="G3" s="5" t="s">
        <v>49</v>
      </c>
      <c r="H3" s="5" t="s">
        <v>38</v>
      </c>
      <c r="I3" s="5" t="s">
        <v>50</v>
      </c>
      <c r="J3" s="8">
        <v>7627.59</v>
      </c>
      <c r="K3" s="8">
        <v>0</v>
      </c>
      <c r="L3" s="5">
        <v>0</v>
      </c>
      <c r="M3" s="8">
        <v>0</v>
      </c>
      <c r="N3" s="5" t="s">
        <v>39</v>
      </c>
      <c r="O3" s="5" t="s">
        <v>40</v>
      </c>
      <c r="P3" s="8">
        <v>1220.4100000000001</v>
      </c>
      <c r="R3" s="8">
        <v>1220.4100000000001</v>
      </c>
      <c r="S3" s="8">
        <v>1330</v>
      </c>
      <c r="T3" s="8">
        <v>0</v>
      </c>
      <c r="U3" s="5" t="s">
        <v>58</v>
      </c>
      <c r="V3" s="5" t="s">
        <v>59</v>
      </c>
      <c r="W3" s="8">
        <v>1330</v>
      </c>
      <c r="X3" s="8">
        <v>10178</v>
      </c>
      <c r="Y3" s="5" t="s">
        <v>41</v>
      </c>
      <c r="AA3" s="5" t="s">
        <v>51</v>
      </c>
      <c r="AB3" s="5" t="s">
        <v>52</v>
      </c>
      <c r="AD3" s="5" t="s">
        <v>42</v>
      </c>
      <c r="AE3" s="5" t="s">
        <v>53</v>
      </c>
      <c r="AF3" s="5" t="s">
        <v>54</v>
      </c>
      <c r="AG3" s="5" t="s">
        <v>55</v>
      </c>
      <c r="AH3" s="5" t="s">
        <v>43</v>
      </c>
      <c r="AI3" s="5" t="s">
        <v>56</v>
      </c>
      <c r="AJ3" s="5" t="s">
        <v>57</v>
      </c>
      <c r="AK3" s="5" t="s">
        <v>44</v>
      </c>
      <c r="AL3" s="5" t="s">
        <v>25</v>
      </c>
    </row>
    <row r="4" spans="1:38" x14ac:dyDescent="0.25">
      <c r="B4" s="5" t="s">
        <v>66</v>
      </c>
      <c r="C4" s="5" t="s">
        <v>67</v>
      </c>
      <c r="F4" s="5" t="s">
        <v>68</v>
      </c>
      <c r="G4" s="5" t="s">
        <v>69</v>
      </c>
      <c r="H4" s="5" t="s">
        <v>70</v>
      </c>
      <c r="I4" s="5" t="s">
        <v>71</v>
      </c>
      <c r="J4" s="8">
        <v>688.79</v>
      </c>
      <c r="K4" s="8">
        <v>0</v>
      </c>
      <c r="L4" s="5">
        <v>0</v>
      </c>
      <c r="M4" s="8">
        <v>0</v>
      </c>
      <c r="N4" s="5" t="s">
        <v>73</v>
      </c>
      <c r="O4" s="5" t="s">
        <v>74</v>
      </c>
      <c r="P4" s="8" t="s">
        <v>75</v>
      </c>
      <c r="R4" s="8">
        <v>124.36</v>
      </c>
      <c r="U4" s="5" t="s">
        <v>72</v>
      </c>
      <c r="V4" s="5" t="s">
        <v>72</v>
      </c>
      <c r="X4" s="8">
        <v>799</v>
      </c>
      <c r="AA4" s="5" t="s">
        <v>76</v>
      </c>
      <c r="AD4" s="5" t="s">
        <v>42</v>
      </c>
      <c r="AE4" s="5" t="s">
        <v>77</v>
      </c>
      <c r="AF4" s="5" t="s">
        <v>78</v>
      </c>
      <c r="AG4" s="5" t="s">
        <v>79</v>
      </c>
      <c r="AH4" s="5" t="s">
        <v>80</v>
      </c>
      <c r="AI4" s="5" t="s">
        <v>81</v>
      </c>
      <c r="AJ4" s="5" t="s">
        <v>82</v>
      </c>
      <c r="AK4" s="5" t="s">
        <v>44</v>
      </c>
      <c r="AL4" s="5" t="s">
        <v>60</v>
      </c>
    </row>
    <row r="5" spans="1:38" x14ac:dyDescent="0.25">
      <c r="B5" s="5" t="s">
        <v>83</v>
      </c>
      <c r="C5" s="5" t="s">
        <v>84</v>
      </c>
      <c r="E5" s="5" t="s">
        <v>85</v>
      </c>
      <c r="F5" s="5" t="s">
        <v>86</v>
      </c>
      <c r="G5" s="5" t="s">
        <v>87</v>
      </c>
      <c r="H5" s="5" t="s">
        <v>38</v>
      </c>
      <c r="I5" s="5" t="s">
        <v>88</v>
      </c>
      <c r="J5" s="8">
        <v>272133.71000000002</v>
      </c>
      <c r="K5" s="8">
        <v>0</v>
      </c>
      <c r="L5" s="5">
        <v>0</v>
      </c>
      <c r="M5" s="8">
        <v>0</v>
      </c>
      <c r="N5" s="5" t="s">
        <v>39</v>
      </c>
      <c r="O5" s="5" t="s">
        <v>40</v>
      </c>
      <c r="P5" s="8">
        <v>43541.39</v>
      </c>
      <c r="Q5" s="8">
        <v>0</v>
      </c>
      <c r="R5" s="8">
        <v>43541.39</v>
      </c>
      <c r="U5" s="5" t="s">
        <v>72</v>
      </c>
      <c r="V5" s="5" t="s">
        <v>72</v>
      </c>
      <c r="X5" s="8">
        <v>315675.09999999998</v>
      </c>
      <c r="Y5" s="5" t="s">
        <v>41</v>
      </c>
      <c r="AA5" s="5" t="s">
        <v>89</v>
      </c>
      <c r="AD5" s="5" t="s">
        <v>42</v>
      </c>
      <c r="AE5" s="5" t="s">
        <v>90</v>
      </c>
      <c r="AF5" s="5" t="s">
        <v>91</v>
      </c>
      <c r="AG5" s="5" t="s">
        <v>92</v>
      </c>
      <c r="AH5" s="5" t="s">
        <v>43</v>
      </c>
      <c r="AI5" s="5" t="s">
        <v>93</v>
      </c>
      <c r="AJ5" s="5" t="s">
        <v>94</v>
      </c>
      <c r="AK5" s="5" t="s">
        <v>44</v>
      </c>
      <c r="AL5" s="5" t="s">
        <v>61</v>
      </c>
    </row>
    <row r="6" spans="1:38" x14ac:dyDescent="0.25">
      <c r="B6" s="5" t="s">
        <v>95</v>
      </c>
      <c r="C6" s="5" t="s">
        <v>96</v>
      </c>
      <c r="D6" s="5" t="s">
        <v>97</v>
      </c>
      <c r="E6" s="5" t="s">
        <v>98</v>
      </c>
      <c r="F6" s="5" t="s">
        <v>99</v>
      </c>
      <c r="G6" s="5" t="s">
        <v>100</v>
      </c>
      <c r="H6" s="5" t="s">
        <v>70</v>
      </c>
      <c r="I6" s="5" t="s">
        <v>101</v>
      </c>
      <c r="J6" s="8">
        <v>16609.11</v>
      </c>
      <c r="K6" s="8">
        <v>0</v>
      </c>
      <c r="L6" s="5" t="s">
        <v>102</v>
      </c>
      <c r="M6" s="8" t="s">
        <v>103</v>
      </c>
      <c r="N6" s="5" t="s">
        <v>39</v>
      </c>
      <c r="O6" s="5" t="s">
        <v>40</v>
      </c>
      <c r="P6" s="8">
        <v>2657.46</v>
      </c>
      <c r="Q6" s="8">
        <v>3432.55</v>
      </c>
      <c r="R6" s="8">
        <v>2657.46</v>
      </c>
      <c r="U6" s="5" t="s">
        <v>72</v>
      </c>
      <c r="V6" s="5" t="s">
        <v>72</v>
      </c>
      <c r="X6" s="8">
        <v>15834.02</v>
      </c>
      <c r="Y6" s="5" t="s">
        <v>41</v>
      </c>
      <c r="AA6" s="5" t="s">
        <v>104</v>
      </c>
      <c r="AD6" s="5" t="s">
        <v>42</v>
      </c>
      <c r="AE6" s="5" t="s">
        <v>105</v>
      </c>
      <c r="AF6" s="5" t="s">
        <v>106</v>
      </c>
      <c r="AG6" s="5" t="s">
        <v>107</v>
      </c>
      <c r="AH6" s="5" t="s">
        <v>43</v>
      </c>
      <c r="AI6" s="5" t="s">
        <v>108</v>
      </c>
      <c r="AJ6" s="5" t="s">
        <v>109</v>
      </c>
      <c r="AK6" s="5" t="s">
        <v>44</v>
      </c>
      <c r="AL6" s="5" t="s">
        <v>62</v>
      </c>
    </row>
    <row r="7" spans="1:38" x14ac:dyDescent="0.25">
      <c r="B7" s="5" t="s">
        <v>110</v>
      </c>
      <c r="C7" s="5" t="s">
        <v>111</v>
      </c>
      <c r="D7" s="5" t="s">
        <v>112</v>
      </c>
      <c r="E7" s="5" t="s">
        <v>113</v>
      </c>
      <c r="F7" s="5" t="s">
        <v>114</v>
      </c>
      <c r="G7" s="5" t="s">
        <v>115</v>
      </c>
      <c r="H7" s="5" t="s">
        <v>38</v>
      </c>
      <c r="I7" s="5" t="s">
        <v>88</v>
      </c>
      <c r="J7" s="8">
        <v>401</v>
      </c>
      <c r="K7" s="8">
        <v>0</v>
      </c>
      <c r="L7" s="5">
        <v>0</v>
      </c>
      <c r="M7" s="8">
        <v>0</v>
      </c>
      <c r="N7" s="5" t="s">
        <v>116</v>
      </c>
      <c r="O7" s="5" t="s">
        <v>117</v>
      </c>
      <c r="P7" s="8" t="s">
        <v>118</v>
      </c>
      <c r="R7" s="8">
        <v>64.16</v>
      </c>
      <c r="U7" s="5" t="s">
        <v>72</v>
      </c>
      <c r="V7" s="5" t="s">
        <v>72</v>
      </c>
      <c r="X7" s="8">
        <v>465.16</v>
      </c>
      <c r="Y7" s="5" t="s">
        <v>119</v>
      </c>
      <c r="Z7" s="5" t="s">
        <v>120</v>
      </c>
      <c r="AA7" s="5" t="s">
        <v>121</v>
      </c>
      <c r="AB7" s="5" t="s">
        <v>122</v>
      </c>
      <c r="AD7" s="5" t="s">
        <v>42</v>
      </c>
      <c r="AE7" s="5" t="s">
        <v>123</v>
      </c>
      <c r="AF7" s="5" t="s">
        <v>124</v>
      </c>
      <c r="AG7" s="5" t="s">
        <v>125</v>
      </c>
      <c r="AH7" s="5" t="s">
        <v>43</v>
      </c>
      <c r="AI7" s="5" t="s">
        <v>126</v>
      </c>
      <c r="AJ7" s="5" t="s">
        <v>127</v>
      </c>
      <c r="AK7" s="5" t="s">
        <v>44</v>
      </c>
      <c r="AL7" s="5" t="s">
        <v>63</v>
      </c>
    </row>
    <row r="8" spans="1:38" x14ac:dyDescent="0.25">
      <c r="B8" s="5" t="s">
        <v>128</v>
      </c>
      <c r="C8" s="5" t="s">
        <v>129</v>
      </c>
      <c r="D8" s="5" t="s">
        <v>130</v>
      </c>
      <c r="E8" s="5" t="s">
        <v>131</v>
      </c>
      <c r="F8" s="5" t="s">
        <v>132</v>
      </c>
      <c r="G8" s="5" t="s">
        <v>133</v>
      </c>
      <c r="H8" s="5" t="s">
        <v>38</v>
      </c>
      <c r="I8" s="5" t="s">
        <v>134</v>
      </c>
      <c r="J8" s="8">
        <v>1363.02</v>
      </c>
      <c r="K8" s="8">
        <v>0</v>
      </c>
      <c r="L8" s="5">
        <v>0</v>
      </c>
      <c r="M8" s="8">
        <v>0</v>
      </c>
      <c r="N8" s="5" t="s">
        <v>39</v>
      </c>
      <c r="O8" s="5" t="s">
        <v>135</v>
      </c>
      <c r="P8" s="8">
        <v>218.08</v>
      </c>
      <c r="Q8" s="8">
        <v>0</v>
      </c>
      <c r="R8" s="8">
        <v>218.08</v>
      </c>
      <c r="U8" s="5" t="s">
        <v>72</v>
      </c>
      <c r="V8" s="5" t="s">
        <v>72</v>
      </c>
      <c r="X8" s="8">
        <v>1581.1</v>
      </c>
      <c r="Y8" s="5" t="s">
        <v>41</v>
      </c>
      <c r="Z8" s="5" t="s">
        <v>136</v>
      </c>
      <c r="AA8" s="5" t="s">
        <v>137</v>
      </c>
      <c r="AB8" s="5" t="s">
        <v>138</v>
      </c>
      <c r="AC8" s="5" t="s">
        <v>139</v>
      </c>
      <c r="AD8" s="5" t="s">
        <v>42</v>
      </c>
      <c r="AE8" s="5" t="s">
        <v>140</v>
      </c>
      <c r="AF8" s="5" t="s">
        <v>141</v>
      </c>
      <c r="AG8" s="5" t="s">
        <v>142</v>
      </c>
      <c r="AH8" s="5" t="s">
        <v>143</v>
      </c>
      <c r="AI8" s="5" t="s">
        <v>144</v>
      </c>
      <c r="AJ8" s="5" t="s">
        <v>145</v>
      </c>
      <c r="AK8" s="5" t="s">
        <v>44</v>
      </c>
      <c r="AL8" s="5" t="s">
        <v>64</v>
      </c>
    </row>
    <row r="9" spans="1:38" x14ac:dyDescent="0.25">
      <c r="B9" s="5" t="s">
        <v>146</v>
      </c>
      <c r="C9" s="5" t="s">
        <v>146</v>
      </c>
      <c r="D9" s="5" t="s">
        <v>147</v>
      </c>
      <c r="E9" s="5" t="s">
        <v>148</v>
      </c>
      <c r="F9" s="5" t="s">
        <v>149</v>
      </c>
      <c r="G9" s="5" t="s">
        <v>150</v>
      </c>
      <c r="H9" s="5" t="s">
        <v>38</v>
      </c>
      <c r="I9" s="5" t="s">
        <v>151</v>
      </c>
      <c r="J9" s="8">
        <v>431.03</v>
      </c>
      <c r="K9" s="8">
        <v>0</v>
      </c>
      <c r="L9" s="5">
        <v>0</v>
      </c>
      <c r="M9" s="8">
        <v>0</v>
      </c>
      <c r="N9" s="5" t="s">
        <v>39</v>
      </c>
      <c r="O9" s="5" t="s">
        <v>40</v>
      </c>
      <c r="P9" s="8">
        <v>68.97</v>
      </c>
      <c r="R9" s="8">
        <v>68.97</v>
      </c>
      <c r="U9" s="5" t="s">
        <v>72</v>
      </c>
      <c r="V9" s="5" t="s">
        <v>72</v>
      </c>
      <c r="X9" s="8">
        <v>500</v>
      </c>
      <c r="AA9" s="5" t="s">
        <v>152</v>
      </c>
      <c r="AD9" s="5" t="s">
        <v>42</v>
      </c>
      <c r="AE9" s="5" t="s">
        <v>153</v>
      </c>
      <c r="AF9" s="5" t="s">
        <v>154</v>
      </c>
      <c r="AG9" s="5" t="s">
        <v>155</v>
      </c>
      <c r="AH9" s="5" t="s">
        <v>80</v>
      </c>
      <c r="AI9" s="5" t="s">
        <v>156</v>
      </c>
      <c r="AJ9" s="5" t="s">
        <v>157</v>
      </c>
      <c r="AK9" s="5" t="s">
        <v>44</v>
      </c>
      <c r="AL9" s="5" t="s">
        <v>65</v>
      </c>
    </row>
    <row r="10" spans="1:38" x14ac:dyDescent="0.25">
      <c r="C10" s="5" t="s">
        <v>158</v>
      </c>
      <c r="F10" s="5" t="s">
        <v>186</v>
      </c>
      <c r="G10" s="5" t="s">
        <v>187</v>
      </c>
      <c r="H10" s="5" t="s">
        <v>188</v>
      </c>
      <c r="I10" s="5" t="s">
        <v>189</v>
      </c>
      <c r="K10" s="8">
        <v>0</v>
      </c>
      <c r="L10" s="5" t="s">
        <v>159</v>
      </c>
      <c r="M10" s="8" t="s">
        <v>159</v>
      </c>
      <c r="O10" s="5" t="s">
        <v>72</v>
      </c>
      <c r="Q10" s="8">
        <v>1626.19</v>
      </c>
      <c r="R10" s="8">
        <v>1258.79</v>
      </c>
      <c r="Y10" s="5" t="s">
        <v>41</v>
      </c>
      <c r="AF10" s="5" t="s">
        <v>160</v>
      </c>
      <c r="AG10" s="5" t="s">
        <v>161</v>
      </c>
      <c r="AI10" s="5" t="s">
        <v>162</v>
      </c>
      <c r="AL10" s="5" t="s">
        <v>208</v>
      </c>
    </row>
    <row r="11" spans="1:38" x14ac:dyDescent="0.25">
      <c r="C11" s="5" t="s">
        <v>163</v>
      </c>
      <c r="F11" s="5" t="s">
        <v>186</v>
      </c>
      <c r="G11" s="5" t="s">
        <v>187</v>
      </c>
      <c r="H11" s="5" t="s">
        <v>190</v>
      </c>
      <c r="I11" s="5" t="s">
        <v>191</v>
      </c>
      <c r="K11" s="8">
        <v>0</v>
      </c>
      <c r="L11" s="5" t="s">
        <v>159</v>
      </c>
      <c r="M11" s="8" t="s">
        <v>159</v>
      </c>
      <c r="O11" s="5" t="s">
        <v>72</v>
      </c>
      <c r="Q11" s="8">
        <v>2710.33</v>
      </c>
      <c r="R11" s="8">
        <v>2097.98</v>
      </c>
      <c r="U11" s="5" t="s">
        <v>72</v>
      </c>
      <c r="V11" s="5" t="s">
        <v>72</v>
      </c>
      <c r="Y11" s="5" t="s">
        <v>41</v>
      </c>
      <c r="AE11" s="5" t="s">
        <v>72</v>
      </c>
      <c r="AF11" s="5" t="s">
        <v>164</v>
      </c>
      <c r="AG11" s="5" t="s">
        <v>165</v>
      </c>
      <c r="AI11" s="5" t="s">
        <v>162</v>
      </c>
      <c r="AL11" s="5" t="s">
        <v>209</v>
      </c>
    </row>
    <row r="12" spans="1:38" x14ac:dyDescent="0.25">
      <c r="C12" s="5" t="s">
        <v>166</v>
      </c>
      <c r="F12" s="5" t="s">
        <v>192</v>
      </c>
      <c r="G12" s="5" t="s">
        <v>193</v>
      </c>
      <c r="H12" s="5" t="s">
        <v>194</v>
      </c>
      <c r="I12" s="5" t="s">
        <v>195</v>
      </c>
      <c r="K12" s="8">
        <v>0</v>
      </c>
      <c r="L12" s="5">
        <v>0</v>
      </c>
      <c r="M12" s="8">
        <v>0</v>
      </c>
      <c r="O12" s="5" t="s">
        <v>72</v>
      </c>
      <c r="R12" s="8">
        <v>515.45000000000005</v>
      </c>
      <c r="U12" s="5" t="s">
        <v>72</v>
      </c>
      <c r="V12" s="5" t="s">
        <v>72</v>
      </c>
      <c r="Y12" s="5" t="s">
        <v>41</v>
      </c>
      <c r="AE12" s="5" t="s">
        <v>72</v>
      </c>
      <c r="AF12" s="5" t="s">
        <v>167</v>
      </c>
      <c r="AG12" s="5" t="s">
        <v>196</v>
      </c>
      <c r="AI12" s="5" t="s">
        <v>168</v>
      </c>
      <c r="AL12" s="5" t="s">
        <v>210</v>
      </c>
    </row>
    <row r="13" spans="1:38" x14ac:dyDescent="0.25">
      <c r="C13" s="5" t="s">
        <v>169</v>
      </c>
      <c r="F13" s="5" t="s">
        <v>192</v>
      </c>
      <c r="G13" s="5" t="s">
        <v>193</v>
      </c>
      <c r="H13" s="5" t="s">
        <v>194</v>
      </c>
      <c r="I13" s="5" t="s">
        <v>195</v>
      </c>
      <c r="K13" s="8">
        <v>0</v>
      </c>
      <c r="L13" s="5">
        <v>0</v>
      </c>
      <c r="M13" s="8">
        <v>0</v>
      </c>
      <c r="O13" s="5" t="s">
        <v>72</v>
      </c>
      <c r="R13" s="8">
        <v>226.07</v>
      </c>
      <c r="U13" s="5" t="s">
        <v>72</v>
      </c>
      <c r="V13" s="5" t="s">
        <v>72</v>
      </c>
      <c r="Y13" s="5" t="s">
        <v>41</v>
      </c>
      <c r="AE13" s="5" t="s">
        <v>72</v>
      </c>
      <c r="AF13" s="5" t="s">
        <v>170</v>
      </c>
      <c r="AG13" s="5" t="s">
        <v>196</v>
      </c>
      <c r="AI13" s="5" t="s">
        <v>168</v>
      </c>
      <c r="AL13" s="5" t="s">
        <v>211</v>
      </c>
    </row>
    <row r="14" spans="1:38" x14ac:dyDescent="0.25">
      <c r="C14" s="5" t="s">
        <v>171</v>
      </c>
      <c r="F14" s="5" t="s">
        <v>197</v>
      </c>
      <c r="G14" s="5" t="s">
        <v>198</v>
      </c>
      <c r="H14" s="5" t="s">
        <v>199</v>
      </c>
      <c r="I14" s="5" t="s">
        <v>200</v>
      </c>
      <c r="K14" s="8">
        <v>0</v>
      </c>
      <c r="L14" s="5">
        <v>0</v>
      </c>
      <c r="M14" s="8">
        <v>0</v>
      </c>
      <c r="O14" s="5" t="s">
        <v>72</v>
      </c>
      <c r="R14" s="8">
        <v>1120</v>
      </c>
      <c r="U14" s="5" t="s">
        <v>72</v>
      </c>
      <c r="V14" s="5" t="s">
        <v>72</v>
      </c>
      <c r="Y14" s="5" t="s">
        <v>41</v>
      </c>
      <c r="AE14" s="5" t="s">
        <v>72</v>
      </c>
      <c r="AF14" s="5" t="s">
        <v>172</v>
      </c>
      <c r="AG14" s="5" t="s">
        <v>173</v>
      </c>
      <c r="AI14" s="5" t="s">
        <v>174</v>
      </c>
      <c r="AL14" s="5" t="s">
        <v>212</v>
      </c>
    </row>
    <row r="15" spans="1:38" x14ac:dyDescent="0.25">
      <c r="C15" s="5" t="s">
        <v>175</v>
      </c>
      <c r="F15" s="5" t="s">
        <v>197</v>
      </c>
      <c r="G15" s="5" t="s">
        <v>198</v>
      </c>
      <c r="H15" s="5" t="s">
        <v>201</v>
      </c>
      <c r="I15" s="5" t="s">
        <v>202</v>
      </c>
      <c r="K15" s="8">
        <v>0</v>
      </c>
      <c r="L15" s="5">
        <v>0</v>
      </c>
      <c r="M15" s="8">
        <v>0</v>
      </c>
      <c r="O15" s="5" t="s">
        <v>72</v>
      </c>
      <c r="R15" s="8">
        <v>1440</v>
      </c>
      <c r="U15" s="5" t="s">
        <v>72</v>
      </c>
      <c r="V15" s="5" t="s">
        <v>72</v>
      </c>
      <c r="Y15" s="5" t="s">
        <v>41</v>
      </c>
      <c r="AE15" s="5" t="s">
        <v>72</v>
      </c>
      <c r="AF15" s="5" t="s">
        <v>176</v>
      </c>
      <c r="AG15" s="5" t="s">
        <v>173</v>
      </c>
      <c r="AI15" s="5" t="s">
        <v>174</v>
      </c>
      <c r="AL15" s="5" t="s">
        <v>213</v>
      </c>
    </row>
    <row r="16" spans="1:38" x14ac:dyDescent="0.25">
      <c r="C16" s="5" t="s">
        <v>177</v>
      </c>
      <c r="F16" s="5" t="s">
        <v>203</v>
      </c>
      <c r="G16" s="5" t="s">
        <v>204</v>
      </c>
      <c r="H16" s="5" t="s">
        <v>201</v>
      </c>
      <c r="I16" s="5" t="s">
        <v>205</v>
      </c>
      <c r="K16" s="8">
        <v>0</v>
      </c>
      <c r="L16" s="5">
        <v>0</v>
      </c>
      <c r="M16" s="8">
        <v>0</v>
      </c>
      <c r="O16" s="5" t="s">
        <v>72</v>
      </c>
      <c r="R16" s="8">
        <v>28.83</v>
      </c>
      <c r="U16" s="5" t="s">
        <v>72</v>
      </c>
      <c r="V16" s="5" t="s">
        <v>72</v>
      </c>
      <c r="Y16" s="5" t="s">
        <v>41</v>
      </c>
      <c r="Z16" s="5" t="s">
        <v>178</v>
      </c>
      <c r="AE16" s="5" t="s">
        <v>72</v>
      </c>
      <c r="AF16" s="5" t="s">
        <v>179</v>
      </c>
      <c r="AG16" s="5" t="s">
        <v>180</v>
      </c>
      <c r="AI16" s="5" t="s">
        <v>181</v>
      </c>
      <c r="AL16" s="5" t="s">
        <v>214</v>
      </c>
    </row>
    <row r="17" spans="3:38" ht="60" x14ac:dyDescent="0.25">
      <c r="C17" s="5" t="s">
        <v>182</v>
      </c>
      <c r="F17" s="5" t="s">
        <v>206</v>
      </c>
      <c r="G17" s="5" t="s">
        <v>207</v>
      </c>
      <c r="H17" s="5" t="s">
        <v>201</v>
      </c>
      <c r="I17" s="5" t="s">
        <v>202</v>
      </c>
      <c r="K17" s="8">
        <v>0</v>
      </c>
      <c r="L17" s="5">
        <v>0</v>
      </c>
      <c r="M17" s="8">
        <v>0</v>
      </c>
      <c r="O17" s="5" t="s">
        <v>72</v>
      </c>
      <c r="R17" s="8">
        <v>10240</v>
      </c>
      <c r="U17" s="5" t="s">
        <v>72</v>
      </c>
      <c r="V17" s="5" t="s">
        <v>72</v>
      </c>
      <c r="Y17" s="5" t="s">
        <v>41</v>
      </c>
      <c r="AE17" s="5" t="s">
        <v>72</v>
      </c>
      <c r="AF17" s="5" t="s">
        <v>183</v>
      </c>
      <c r="AG17" s="9" t="s">
        <v>184</v>
      </c>
      <c r="AI17" s="5" t="s">
        <v>185</v>
      </c>
      <c r="AL17" s="5" t="s">
        <v>215</v>
      </c>
    </row>
    <row r="27" spans="3:38" x14ac:dyDescent="0.25">
      <c r="AG27" s="9"/>
    </row>
  </sheetData>
  <sheetProtection deleteRows="0"/>
  <dataConsolidate/>
  <customSheetViews>
    <customSheetView guid="{B4850F91-50A2-4A54-A1BF-3C17D740053F}" topLeftCell="G1">
      <selection activeCell="O2" sqref="O2"/>
      <pageMargins left="0.7" right="0.7" top="0.75" bottom="0.75" header="0.3" footer="0.3"/>
    </customSheetView>
    <customSheetView guid="{55226B71-C347-4DAC-B037-E9CF2FD2913C}" topLeftCell="G1">
      <selection activeCell="O2" sqref="O2"/>
      <pageMargins left="0.7" right="0.7" top="0.75" bottom="0.75" header="0.3" footer="0.3"/>
    </customSheetView>
    <customSheetView guid="{1C8042B4-AAB3-47D5-8D64-822E9FA982DB}" topLeftCell="G1">
      <selection activeCell="O2" sqref="O2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CFDI. FACT.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luis.acosta</dc:creator>
  <cp:lastModifiedBy>Edgar Emilio Salas Castillo</cp:lastModifiedBy>
  <cp:lastPrinted>2016-11-16T00:48:10Z</cp:lastPrinted>
  <dcterms:created xsi:type="dcterms:W3CDTF">2016-01-22T19:06:32Z</dcterms:created>
  <dcterms:modified xsi:type="dcterms:W3CDTF">2018-11-13T16:20:13Z</dcterms:modified>
</cp:coreProperties>
</file>